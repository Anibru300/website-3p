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ent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6"/>
    </font>
    <font>
      <name val="Calibri"/>
      <i val="1"/>
      <color rgb="00595959"/>
      <sz val="11"/>
    </font>
    <font>
      <b val="1"/>
      <color rgb="001F4E79"/>
      <sz val="12"/>
    </font>
    <font>
      <b val="1"/>
      <color rgb="00FFFFFF"/>
    </font>
    <font>
      <b val="1"/>
    </font>
    <font>
      <b val="1"/>
      <color rgb="00C00000"/>
    </font>
    <font>
      <b val="1"/>
      <color rgb="00BF8F00"/>
    </font>
    <font>
      <b val="1"/>
      <color rgb="00375623"/>
    </font>
    <font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4" borderId="1" pivotButton="0" quotePrefix="0" xfId="0"/>
    <xf numFmtId="0" fontId="10" fillId="5" borderId="1" pivotButton="0" quotePrefix="0" xfId="0"/>
    <xf numFmtId="0" fontId="11" fillId="6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dxfs count="6">
    <dxf>
      <font>
        <b val="1"/>
        <color rgb="00C00000"/>
      </font>
      <fill>
        <patternFill patternType="solid">
          <fgColor rgb="00F8CBAD"/>
        </patternFill>
      </fill>
    </dxf>
    <dxf>
      <font>
        <b val="1"/>
        <color rgb="00BF8F00"/>
      </font>
      <fill>
        <patternFill patternType="solid">
          <fgColor rgb="00FFE699"/>
        </patternFill>
      </fill>
    </dxf>
    <dxf>
      <font>
        <b val="1"/>
        <color rgb="00375623"/>
      </font>
      <fill>
        <patternFill patternType="solid">
          <fgColor rgb="00C6E0B4"/>
        </patternFill>
      </fill>
    </dxf>
    <dxf>
      <font>
        <b val="1"/>
        <color rgb="00C00000"/>
      </font>
    </dxf>
    <dxf>
      <font>
        <b val="1"/>
        <color rgb="00BF8F00"/>
      </font>
    </dxf>
    <dxf>
      <font>
        <b val="1"/>
        <color rgb="004472C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endientes" displayName="tblPendientes" ref="A1:H25" headerRowCount="1">
  <autoFilter ref="A1:H25"/>
  <tableColumns count="8">
    <tableColumn id="1" name="Marca"/>
    <tableColumn id="2" name="Código"/>
    <tableColumn id="3" name="Archivo"/>
    <tableColumn id="4" name="Descripción"/>
    <tableColumn id="5" name="Tipo"/>
    <tableColumn id="6" name="Problema / observación"/>
    <tableColumn id="7" name="Estado"/>
    <tableColumn id="8" name="Notas / acción sug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8" customWidth="1" min="4" max="4"/>
    <col width="12" customWidth="1" min="5" max="5"/>
    <col width="62" customWidth="1" min="6" max="6"/>
    <col width="20" customWidth="1" min="7" max="7"/>
    <col width="42" customWidth="1" min="8" max="8"/>
  </cols>
  <sheetData>
    <row r="1" ht="28" customHeight="1">
      <c r="A1" s="1" t="inlineStr">
        <is>
          <t>Marca</t>
        </is>
      </c>
      <c r="B1" s="1" t="inlineStr">
        <is>
          <t>Código</t>
        </is>
      </c>
      <c r="C1" s="1" t="inlineStr">
        <is>
          <t>Archivo</t>
        </is>
      </c>
      <c r="D1" s="1" t="inlineStr">
        <is>
          <t>Descripción</t>
        </is>
      </c>
      <c r="E1" s="1" t="inlineStr">
        <is>
          <t>Tipo</t>
        </is>
      </c>
      <c r="F1" s="1" t="inlineStr">
        <is>
          <t>Problema / observación</t>
        </is>
      </c>
      <c r="G1" s="1" t="inlineStr">
        <is>
          <t>Estado</t>
        </is>
      </c>
      <c r="H1" s="1" t="inlineStr">
        <is>
          <t>Notas / acción sugerida</t>
        </is>
      </c>
    </row>
    <row r="2">
      <c r="A2" s="2" t="inlineStr">
        <is>
          <t>Georgia Poultry</t>
        </is>
      </c>
      <c r="B2" s="3" t="inlineStr">
        <is>
          <t>H103168 X</t>
        </is>
      </c>
      <c r="C2" s="3" t="inlineStr">
        <is>
          <t>h103168-x.jpg</t>
        </is>
      </c>
      <c r="D2" s="3" t="inlineStr">
        <is>
          <t>SHOCKER FEED LINE GP</t>
        </is>
      </c>
      <c r="E2" s="3" t="inlineStr">
        <is>
          <t>Incorrecta</t>
        </is>
      </c>
      <c r="F2" s="3" t="inlineStr">
        <is>
          <t>La foto es un energizador de cerca eléctrica (Dare Enforcer DE-60), no el hilo conductor de la línea de choque. El producto sí existe; la foto es de otro artículo.</t>
        </is>
      </c>
      <c r="G2" s="3" t="inlineStr">
        <is>
          <t>🔄 pedir foto real</t>
        </is>
      </c>
      <c r="H2" s="3" t="inlineStr">
        <is>
          <t>Confirmar con almacén y reemplazar con la foto real del producto.</t>
        </is>
      </c>
    </row>
    <row r="3">
      <c r="A3" s="2" t="inlineStr">
        <is>
          <t>Georgia Poultry</t>
        </is>
      </c>
      <c r="B3" s="3" t="inlineStr">
        <is>
          <t>H001 / H006</t>
        </is>
      </c>
      <c r="C3" s="3" t="inlineStr">
        <is>
          <t>h001.jpg / h006.jpg</t>
        </is>
      </c>
      <c r="D3" s="3" t="inlineStr">
        <is>
          <t>TUBO DE CAIDA 3.937 / 4.187 FA90</t>
        </is>
      </c>
      <c r="E3" s="3" t="inlineStr">
        <is>
          <t>Duplicada</t>
        </is>
      </c>
      <c r="F3" s="3" t="inlineStr">
        <is>
          <t>Los dos archivos son idénticos byte por byte. Son tubos de caída de diámetros distintos; una de las dos fotos probablemente está mal asignada.</t>
        </is>
      </c>
      <c r="G3" s="3" t="inlineStr">
        <is>
          <t>⬜ pendiente</t>
        </is>
      </c>
      <c r="H3" s="3" t="inlineStr">
        <is>
          <t>Confirmar cuál foto corresponde a cada código.</t>
        </is>
      </c>
    </row>
    <row r="4">
      <c r="A4" s="2" t="inlineStr">
        <is>
          <t>Georgia Poultry</t>
        </is>
      </c>
      <c r="B4" s="3" t="inlineStr">
        <is>
          <t>H80006R MX</t>
        </is>
      </c>
      <c r="C4" s="3" t="inlineStr">
        <is>
          <t>h80006r-mx.jpg</t>
        </is>
      </c>
      <c r="D4" s="3" t="inlineStr">
        <is>
          <t>SEGURO PARA CONO</t>
        </is>
      </c>
      <c r="E4" s="3" t="inlineStr">
        <is>
          <t>Dudosa</t>
        </is>
      </c>
      <c r="F4" s="3" t="inlineStr">
        <is>
          <t>Clip plástico rojo plausible como seguro del cono, pero sin contexto que confirme el componente.</t>
        </is>
      </c>
      <c r="G4" s="3" t="inlineStr">
        <is>
          <t>⬜ pendiente</t>
        </is>
      </c>
      <c r="H4" s="3" t="inlineStr"/>
    </row>
    <row r="5">
      <c r="A5" s="2" t="inlineStr">
        <is>
          <t>Georgia Poultry</t>
        </is>
      </c>
      <c r="B5" s="3" t="inlineStr">
        <is>
          <t>HS577</t>
        </is>
      </c>
      <c r="C5" s="3" t="inlineStr">
        <is>
          <t>hs577.jpg</t>
        </is>
      </c>
      <c r="D5" s="3" t="inlineStr">
        <is>
          <t>KWIK START SOLAMENTE</t>
        </is>
      </c>
      <c r="E5" s="3" t="inlineStr">
        <is>
          <t>Dudosa</t>
        </is>
      </c>
      <c r="F5" s="3" t="inlineStr">
        <is>
          <t>Mecanismo plástico rojo consistente con Kwik-Start, pero sin marca visible que lo confirme.</t>
        </is>
      </c>
      <c r="G5" s="3" t="inlineStr">
        <is>
          <t>⬜ pendiente</t>
        </is>
      </c>
      <c r="H5" s="3" t="inlineStr"/>
    </row>
    <row r="6">
      <c r="A6" s="2" t="inlineStr">
        <is>
          <t>SBM</t>
        </is>
      </c>
      <c r="B6" s="3" t="inlineStr">
        <is>
          <t>10X38-CF.</t>
        </is>
      </c>
      <c r="C6" s="3" t="inlineStr">
        <is>
          <t>10x38-cf.jpg</t>
        </is>
      </c>
      <c r="D6" s="3" t="inlineStr">
        <is>
          <t>PORTAFUSIBLE DOBLE 2 POLOS</t>
        </is>
      </c>
      <c r="E6" s="3" t="inlineStr">
        <is>
          <t>Incorrecta</t>
        </is>
      </c>
      <c r="F6" s="3" t="inlineStr">
        <is>
          <t>La foto es la misma imagen que 10X38 MUESTRA (portafusible simple ABB de 1 polo), no el doble de 2 polos que describe el texto.</t>
        </is>
      </c>
      <c r="G6" s="3" t="inlineStr">
        <is>
          <t>🔄 pedir foto real</t>
        </is>
      </c>
      <c r="H6" s="3" t="inlineStr">
        <is>
          <t>Pedir a almacén la foto del portafusible doble real.</t>
        </is>
      </c>
    </row>
    <row r="7">
      <c r="A7" s="2" t="inlineStr">
        <is>
          <t>SBM</t>
        </is>
      </c>
      <c r="B7" s="3" t="inlineStr">
        <is>
          <t>101B-4</t>
        </is>
      </c>
      <c r="C7" s="3" t="inlineStr">
        <is>
          <t>101b-4.jpg</t>
        </is>
      </c>
      <c r="D7" s="3" t="inlineStr">
        <is>
          <t>TEE HEMBRA NPTF 1/4 P/CUADRO DE GAS</t>
        </is>
      </c>
      <c r="E7" s="3" t="inlineStr">
        <is>
          <t>Dudosa</t>
        </is>
      </c>
      <c r="F7" s="3" t="inlineStr">
        <is>
          <t>El fitting parece ser un tee street (con boca macho arriba), no un tee totalmente hembra.</t>
        </is>
      </c>
      <c r="G7" s="3" t="inlineStr">
        <is>
          <t>⬜ pendiente</t>
        </is>
      </c>
      <c r="H7" s="3" t="inlineStr">
        <is>
          <t>Confirmar si la descripción o la foto está mal.</t>
        </is>
      </c>
    </row>
    <row r="8">
      <c r="A8" s="2" t="inlineStr">
        <is>
          <t>SBM</t>
        </is>
      </c>
      <c r="B8" s="3" t="inlineStr">
        <is>
          <t>3080003</t>
        </is>
      </c>
      <c r="C8" s="3" t="inlineStr">
        <is>
          <t>3080003.jpg</t>
        </is>
      </c>
      <c r="D8" s="3" t="inlineStr">
        <is>
          <t>EMPAQUE P/CERAMICA P/CRIADORA</t>
        </is>
      </c>
      <c r="E8" s="3" t="inlineStr">
        <is>
          <t>Dudosa</t>
        </is>
      </c>
      <c r="F8" s="3" t="inlineStr">
        <is>
          <t>La foto es una tira blanca genérica (foam/fieltro); plausible como empaque pero no confirma que sea para cerámica.</t>
        </is>
      </c>
      <c r="G8" s="3" t="inlineStr">
        <is>
          <t>⬜ pendiente</t>
        </is>
      </c>
      <c r="H8" s="3" t="inlineStr"/>
    </row>
    <row r="9">
      <c r="A9" s="2" t="inlineStr">
        <is>
          <t>SBM</t>
        </is>
      </c>
      <c r="B9" s="3" t="inlineStr">
        <is>
          <t>60F-6</t>
        </is>
      </c>
      <c r="C9" s="3" t="inlineStr">
        <is>
          <t>60f-6.jpg</t>
        </is>
      </c>
      <c r="D9" s="3" t="inlineStr">
        <is>
          <t>BARRIL 3/8 3G23</t>
        </is>
      </c>
      <c r="E9" s="3" t="inlineStr">
        <is>
          <t>Dudosa</t>
        </is>
      </c>
      <c r="F9" s="3" t="inlineStr">
        <is>
          <t>Foto pequeña, desenfocada y reflejante; no se puede confirmar la pieza.</t>
        </is>
      </c>
      <c r="G9" s="3" t="inlineStr">
        <is>
          <t>⬜ pendiente</t>
        </is>
      </c>
      <c r="H9" s="3" t="inlineStr">
        <is>
          <t>Considerar tomar una nueva foto.</t>
        </is>
      </c>
    </row>
    <row r="10">
      <c r="A10" s="2" t="inlineStr">
        <is>
          <t>SBM</t>
        </is>
      </c>
      <c r="B10" s="3" t="inlineStr">
        <is>
          <t>9801001</t>
        </is>
      </c>
      <c r="C10" s="3" t="inlineStr">
        <is>
          <t>9801001.jpg</t>
        </is>
      </c>
      <c r="D10" s="3" t="inlineStr">
        <is>
          <t>TUERCA P/BRACK PRUE3P TANQUE DE</t>
        </is>
      </c>
      <c r="E10" s="3" t="inlineStr">
        <is>
          <t>Dudosa</t>
        </is>
      </c>
      <c r="F10" s="3" t="inlineStr">
        <is>
          <t>La foto muestra el tanque con la tuerca ya instalada, no la pieza aislada.</t>
        </is>
      </c>
      <c r="G10" s="3" t="inlineStr">
        <is>
          <t>⬜ pendiente</t>
        </is>
      </c>
      <c r="H10" s="3" t="inlineStr"/>
    </row>
    <row r="11">
      <c r="A11" s="2" t="inlineStr">
        <is>
          <t>SBM</t>
        </is>
      </c>
      <c r="B11" s="3" t="inlineStr">
        <is>
          <t>9804007</t>
        </is>
      </c>
      <c r="C11" s="3" t="inlineStr">
        <is>
          <t>9804007.jpg</t>
        </is>
      </c>
      <c r="D11" s="3" t="inlineStr">
        <is>
          <t>TORNILLO P/CRIADORA 216 FA</t>
        </is>
      </c>
      <c r="E11" s="3" t="inlineStr">
        <is>
          <t>Dudosa</t>
        </is>
      </c>
      <c r="F11" s="3" t="inlineStr">
        <is>
          <t>La pieza parece un espárrago de doble rosca, no un tornillo convencional con cabeza.</t>
        </is>
      </c>
      <c r="G11" s="3" t="inlineStr">
        <is>
          <t>⬜ pendiente</t>
        </is>
      </c>
      <c r="H11" s="3" t="inlineStr">
        <is>
          <t>Revisar posible cruce de fotos con 9804005/9804008.</t>
        </is>
      </c>
    </row>
    <row r="12">
      <c r="A12" s="2" t="inlineStr">
        <is>
          <t>SBM</t>
        </is>
      </c>
      <c r="B12" s="3" t="inlineStr">
        <is>
          <t>9804008</t>
        </is>
      </c>
      <c r="C12" s="3" t="inlineStr">
        <is>
          <t>9804008.jpg</t>
        </is>
      </c>
      <c r="D12" s="3" t="inlineStr">
        <is>
          <t>TORNILLO P/CRIADORA 216XLA</t>
        </is>
      </c>
      <c r="E12" s="3" t="inlineStr">
        <is>
          <t>Dudosa</t>
        </is>
      </c>
      <c r="F12" s="3" t="inlineStr">
        <is>
          <t>La foto muestra una varilla larga lisa con extremos apenas roscados; distinta a 9804005 que también dice 216XLA.</t>
        </is>
      </c>
      <c r="G12" s="3" t="inlineStr">
        <is>
          <t>⬜ pendiente</t>
        </is>
      </c>
      <c r="H12" s="3" t="inlineStr">
        <is>
          <t>Revisar posible cruce de fotos entre 9804005/9804007/9804008.</t>
        </is>
      </c>
    </row>
    <row r="13">
      <c r="A13" s="2" t="inlineStr">
        <is>
          <t>SBM</t>
        </is>
      </c>
      <c r="B13" s="3" t="inlineStr">
        <is>
          <t>3802001 / 3802001.</t>
        </is>
      </c>
      <c r="C13" s="3" t="inlineStr">
        <is>
          <t>3802001.jpg</t>
        </is>
      </c>
      <c r="D13" s="3" t="inlineStr">
        <is>
          <t>BLOCK S.LIVESTOCK T-10</t>
        </is>
      </c>
      <c r="E13" s="3" t="inlineStr">
        <is>
          <t>Duplicada</t>
        </is>
      </c>
      <c r="F13" s="3" t="inlineStr">
        <is>
          <t>Misma foto para ambos códigos (misma pieza, dos códigos). Aparentemente intencional.</t>
        </is>
      </c>
      <c r="G13" s="3" t="inlineStr">
        <is>
          <t>⬜ pendiente</t>
        </is>
      </c>
      <c r="H13" s="3" t="inlineStr">
        <is>
          <t>Confirmar con almacén que ambos códigos son la misma pieza.</t>
        </is>
      </c>
    </row>
    <row r="14">
      <c r="A14" s="2" t="inlineStr">
        <is>
          <t>LB White</t>
        </is>
      </c>
      <c r="B14" s="3" t="inlineStr">
        <is>
          <t>520169 / 520169 NS</t>
        </is>
      </c>
      <c r="C14" s="3" t="inlineStr">
        <is>
          <t>520169.jpg</t>
        </is>
      </c>
      <c r="D14" s="3" t="inlineStr">
        <is>
          <t>MOTOR P/HEATER AD250 1.0 Y 2.0</t>
        </is>
      </c>
      <c r="E14" s="3" t="inlineStr">
        <is>
          <t>Duplicada</t>
        </is>
      </c>
      <c r="F14" s="3" t="inlineStr">
        <is>
          <t>Mismo archivo (duplicado exacto) para ambos códigos.</t>
        </is>
      </c>
      <c r="G14" s="3" t="inlineStr">
        <is>
          <t>⬜ pendiente</t>
        </is>
      </c>
      <c r="H14" s="3" t="inlineStr">
        <is>
          <t>Confirmar con almacén si el código NS tiene foto propia.</t>
        </is>
      </c>
    </row>
    <row r="15">
      <c r="A15" s="2" t="inlineStr">
        <is>
          <t>LB White</t>
        </is>
      </c>
      <c r="B15" s="3" t="inlineStr">
        <is>
          <t>522076 / 522076.</t>
        </is>
      </c>
      <c r="C15" s="3" t="inlineStr">
        <is>
          <t>522076.jpg</t>
        </is>
      </c>
      <c r="D15" s="3" t="inlineStr">
        <is>
          <t>VALVULA CONTROL DE GAS PARA HEATER</t>
        </is>
      </c>
      <c r="E15" s="3" t="inlineStr">
        <is>
          <t>Duplicada</t>
        </is>
      </c>
      <c r="F15" s="3" t="inlineStr">
        <is>
          <t>Mismo archivo (duplicado exacto) para ambos códigos.</t>
        </is>
      </c>
      <c r="G15" s="3" t="inlineStr">
        <is>
          <t>⬜ pendiente</t>
        </is>
      </c>
      <c r="H15" s="3" t="inlineStr">
        <is>
          <t>Confirmar con almacén si el código con punto tiene foto propia.</t>
        </is>
      </c>
    </row>
    <row r="16">
      <c r="A16" s="2" t="inlineStr">
        <is>
          <t>AMT</t>
        </is>
      </c>
      <c r="B16" s="3" t="inlineStr">
        <is>
          <t>19200 AMT</t>
        </is>
      </c>
      <c r="C16" s="3" t="inlineStr">
        <is>
          <t>19200-amt.jpg</t>
        </is>
      </c>
      <c r="D16" s="3" t="inlineStr">
        <is>
          <t>ELEVADOR NEGRO AMT</t>
        </is>
      </c>
      <c r="E16" s="3" t="inlineStr">
        <is>
          <t>Dudosa</t>
        </is>
      </c>
      <c r="F16" s="3" t="inlineStr">
        <is>
          <t>Parecía dudosa (placa plana, no un elevador), pero coincide exactamente con el SKU oficial AMT 19200 Cord Adjuster (Long). La pieza es correcta; el nombre local es impreciso.</t>
        </is>
      </c>
      <c r="G16" s="3" t="inlineStr">
        <is>
          <t>✅ aclarada correcta</t>
        </is>
      </c>
      <c r="H16" s="3" t="inlineStr">
        <is>
          <t>Sin acción.</t>
        </is>
      </c>
    </row>
    <row r="17">
      <c r="A17" s="2" t="inlineStr">
        <is>
          <t>ALKE</t>
        </is>
      </c>
      <c r="B17" s="3" t="inlineStr">
        <is>
          <t>202015</t>
        </is>
      </c>
      <c r="C17" s="3" t="inlineStr">
        <is>
          <t>202015.jpg</t>
        </is>
      </c>
      <c r="D17" s="3" t="inlineStr">
        <is>
          <t>TERMOCOPLE M8X520 C/FUSIBLE OCULTO</t>
        </is>
      </c>
      <c r="E17" s="3" t="inlineStr">
        <is>
          <t>Nota</t>
        </is>
      </c>
      <c r="F17" s="3" t="inlineStr">
        <is>
          <t>El termopar sí es parte oficial ALKE (#28, M8x1, manual 41/61/81), pero la longitud 520 mm y el fusible oculto NO están publicados por ALKE.</t>
        </is>
      </c>
      <c r="G17" s="3" t="inlineStr">
        <is>
          <t>⬜ pendiente</t>
        </is>
      </c>
      <c r="H17" s="3" t="inlineStr">
        <is>
          <t>Confirmar con almacén si se muestran como dato del fabricante o solo como especificación comercial.</t>
        </is>
      </c>
    </row>
    <row r="18">
      <c r="A18" s="2" t="inlineStr">
        <is>
          <t>FANCOM</t>
        </is>
      </c>
      <c r="B18" s="3" t="inlineStr">
        <is>
          <t>(lista pendiente)</t>
        </is>
      </c>
      <c r="C18" s="3" t="inlineStr">
        <is>
          <t>—</t>
        </is>
      </c>
      <c r="D18" s="3" t="inlineStr">
        <is>
          <t>12 fotos dudosas (sesión 2026-09-07)</t>
        </is>
      </c>
      <c r="E18" s="3" t="inlineStr">
        <is>
          <t>Nota</t>
        </is>
      </c>
      <c r="F18" s="3" t="inlineStr">
        <is>
          <t>La lista detallada de códigos quedó en el reporte de la sesión anterior y aún no se vuelca aquí. 0 incorrectas.</t>
        </is>
      </c>
      <c r="G18" s="3" t="inlineStr">
        <is>
          <t>⬜ pendiente</t>
        </is>
      </c>
      <c r="H18" s="3" t="inlineStr">
        <is>
          <t>Volcar los códigos de las 12 fotos dudosas de FANCOM.</t>
        </is>
      </c>
    </row>
    <row r="19">
      <c r="A19" s="2" t="inlineStr">
        <is>
          <t>LUBING</t>
        </is>
      </c>
      <c r="B19" s="3" t="inlineStr">
        <is>
          <t>(lista pendiente)</t>
        </is>
      </c>
      <c r="C19" s="3" t="inlineStr">
        <is>
          <t>—</t>
        </is>
      </c>
      <c r="D19" s="3" t="inlineStr">
        <is>
          <t>10 fotos dudosas (sesión 2026-09-07)</t>
        </is>
      </c>
      <c r="E19" s="3" t="inlineStr">
        <is>
          <t>Nota</t>
        </is>
      </c>
      <c r="F19" s="3" t="inlineStr">
        <is>
          <t>La lista detallada quedó en el reporte de la sesión anterior. Las 2 inconsistencias aparentes (3100302, 4237-1) ya fueron aclaradas como correctas por el usuario.</t>
        </is>
      </c>
      <c r="G19" s="3" t="inlineStr">
        <is>
          <t>⬜ pendiente</t>
        </is>
      </c>
      <c r="H19" s="3" t="inlineStr">
        <is>
          <t>Volcar los códigos de las 10 fotos dudosas de LUBING.</t>
        </is>
      </c>
    </row>
    <row r="20">
      <c r="A20" s="2" t="inlineStr">
        <is>
          <t>MS Schippers</t>
        </is>
      </c>
      <c r="B20" s="3" t="inlineStr">
        <is>
          <t>3409680</t>
        </is>
      </c>
      <c r="C20" s="3" t="inlineStr">
        <is>
          <t>(sin foto)</t>
        </is>
      </c>
      <c r="D20" s="3" t="inlineStr">
        <is>
          <t>Sorting paddle red, 102 cm</t>
        </is>
      </c>
      <c r="E20" s="3" t="inlineStr">
        <is>
          <t>Sin foto</t>
        </is>
      </c>
      <c r="F20" s="3" t="inlineStr">
        <is>
          <t>El producto no tiene imagen asignada; no existe archivo en disco ni en el catálogo autorizado.</t>
        </is>
      </c>
      <c r="G20" s="3" t="inlineStr">
        <is>
          <t>🔄 pedir foto real</t>
        </is>
      </c>
      <c r="H20" s="3" t="inlineStr">
        <is>
          <t>Pedir foto real a almacén.</t>
        </is>
      </c>
    </row>
    <row r="21">
      <c r="A21" s="2" t="inlineStr">
        <is>
          <t>MS Schippers</t>
        </is>
      </c>
      <c r="B21" s="3" t="inlineStr">
        <is>
          <t>809599</t>
        </is>
      </c>
      <c r="C21" s="3" t="inlineStr">
        <is>
          <t>spray-gun-st2600.jpg</t>
        </is>
      </c>
      <c r="D21" s="3" t="inlineStr">
        <is>
          <t>High pressure spray gun ST-2600, KEW (blue)</t>
        </is>
      </c>
      <c r="E21" s="3" t="inlineStr">
        <is>
          <t>Dudosa</t>
        </is>
      </c>
      <c r="F21" s="3" t="inlineStr">
        <is>
          <t>Se asignó la foto de la 809660 (misma pistola ST-2600, variante de otro color) a petición del usuario, pendiente de revisión.</t>
        </is>
      </c>
      <c r="G21" s="3" t="inlineStr">
        <is>
          <t>⬜ pendiente</t>
        </is>
      </c>
      <c r="H21" s="3" t="inlineStr">
        <is>
          <t>Confirmar que la foto sirve para la versión blue o pedir la foto real.</t>
        </is>
      </c>
    </row>
    <row r="22">
      <c r="A22" s="2" t="inlineStr">
        <is>
          <t>MS Schippers</t>
        </is>
      </c>
      <c r="B22" s="3" t="inlineStr">
        <is>
          <t>MS PEROFIXER</t>
        </is>
      </c>
      <c r="C22" s="3" t="inlineStr">
        <is>
          <t>(sin foto)</t>
        </is>
      </c>
      <c r="D22" s="3" t="inlineStr">
        <is>
          <t>PEROFIXER</t>
        </is>
      </c>
      <c r="E22" s="3" t="inlineStr">
        <is>
          <t>Sin foto</t>
        </is>
      </c>
      <c r="F22" s="3" t="inlineStr">
        <is>
          <t>El producto no tiene imagen asignada; no existe archivo en disco ni en el catálogo autorizado.</t>
        </is>
      </c>
      <c r="G22" s="3" t="inlineStr">
        <is>
          <t>🔄 pedir foto real</t>
        </is>
      </c>
      <c r="H22" s="3" t="inlineStr">
        <is>
          <t>Pedir foto real a almacén.</t>
        </is>
      </c>
    </row>
    <row r="23">
      <c r="A23" s="2" t="inlineStr">
        <is>
          <t>MS Schippers</t>
        </is>
      </c>
      <c r="B23" s="3" t="inlineStr">
        <is>
          <t>Q5</t>
        </is>
      </c>
      <c r="C23" s="3" t="inlineStr">
        <is>
          <t>q5-20.png</t>
        </is>
      </c>
      <c r="D23" s="3" t="inlineStr">
        <is>
          <t>Q5 G10 1LT CAUTERNARIO DE AMONIO</t>
        </is>
      </c>
      <c r="E23" s="3" t="inlineStr">
        <is>
          <t>Dudosa</t>
        </is>
      </c>
      <c r="F23" s="3" t="inlineStr">
        <is>
          <t>Se asignó la foto del Q5 de 20 L (código Q5-20) a petición del usuario; es otra presentación del mismo producto. Pendiente de revisión.</t>
        </is>
      </c>
      <c r="G23" s="3" t="inlineStr">
        <is>
          <t>⬜ pendiente</t>
        </is>
      </c>
      <c r="H23" s="3" t="inlineStr">
        <is>
          <t>Confirmar que la foto del envase de 20 L sirve para el de 1 L o pedir la foto real.</t>
        </is>
      </c>
    </row>
    <row r="24">
      <c r="A24" s="2" t="inlineStr">
        <is>
          <t>MS Schippers</t>
        </is>
      </c>
      <c r="B24" s="3" t="inlineStr">
        <is>
          <t>200075552</t>
        </is>
      </c>
      <c r="C24" s="3" t="inlineStr">
        <is>
          <t>(sin foto)</t>
        </is>
      </c>
      <c r="D24" s="3" t="inlineStr">
        <is>
          <t>MS Boquilla de baja presión</t>
        </is>
      </c>
      <c r="E24" s="3" t="inlineStr">
        <is>
          <t>Sin foto</t>
        </is>
      </c>
      <c r="F24" s="3" t="inlineStr">
        <is>
          <t>El producto no tiene imagen asignada; no existe archivo en disco ni en el catálogo autorizado. Tiene stock (6).</t>
        </is>
      </c>
      <c r="G24" s="3" t="inlineStr">
        <is>
          <t>🔄 pedir foto real</t>
        </is>
      </c>
      <c r="H24" s="3" t="inlineStr">
        <is>
          <t>Pedir foto real a almacén.</t>
        </is>
      </c>
    </row>
    <row r="25">
      <c r="A25" s="2" t="inlineStr">
        <is>
          <t>MS Schippers</t>
        </is>
      </c>
      <c r="B25" s="3" t="inlineStr">
        <is>
          <t>5070 WALL</t>
        </is>
      </c>
      <c r="C25" s="3" t="inlineStr">
        <is>
          <t>(sin foto)</t>
        </is>
      </c>
      <c r="D25" s="3" t="inlineStr">
        <is>
          <t>MS Motobomba TopFoam Wall Demo</t>
        </is>
      </c>
      <c r="E25" s="3" t="inlineStr">
        <is>
          <t>Sin foto</t>
        </is>
      </c>
      <c r="F25" s="3" t="inlineStr">
        <is>
          <t>El producto no tiene imagen asignada; no existe archivo en disco ni en el catálogo autorizado. Tiene stock (1).</t>
        </is>
      </c>
      <c r="G25" s="3" t="inlineStr">
        <is>
          <t>🔄 pedir foto real</t>
        </is>
      </c>
      <c r="H25" s="3" t="inlineStr">
        <is>
          <t>Pedir foto real a almacén.</t>
        </is>
      </c>
    </row>
  </sheetData>
  <conditionalFormatting sqref="G2:G25">
    <cfRule type="cellIs" priority="1" operator="equal" dxfId="0">
      <formula>"🔄 pedir foto real"</formula>
    </cfRule>
    <cfRule type="cellIs" priority="2" operator="equal" dxfId="1">
      <formula>"⬜ pendiente"</formula>
    </cfRule>
    <cfRule type="cellIs" priority="3" operator="equal" dxfId="2">
      <formula>"✅ aclarada correcta"</formula>
    </cfRule>
  </conditionalFormatting>
  <conditionalFormatting sqref="E2:E25">
    <cfRule type="cellIs" priority="4" operator="equal" dxfId="3">
      <formula>"Incorrecta"</formula>
    </cfRule>
    <cfRule type="cellIs" priority="5" operator="equal" dxfId="4">
      <formula>"Dudosa"</formula>
    </cfRule>
    <cfRule type="cellIs" priority="6" operator="equal" dxfId="5">
      <formula>"Duplicada"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4" t="inlineStr">
        <is>
          <t>FOTOS PENDIENTES DE REVISIÓN CON ALMACÉN</t>
        </is>
      </c>
    </row>
    <row r="2">
      <c r="A2" s="5" t="inlineStr">
        <is>
          <t>Catálogo público 3P — acumulado de la verificación visual marca por marca</t>
        </is>
      </c>
    </row>
    <row r="4">
      <c r="A4" s="6" t="inlineStr">
        <is>
          <t>Por marca</t>
        </is>
      </c>
    </row>
    <row r="5">
      <c r="A5" s="7" t="inlineStr">
        <is>
          <t>Marca</t>
        </is>
      </c>
      <c r="B5" s="7" t="inlineStr">
        <is>
          <t>Registros</t>
        </is>
      </c>
    </row>
    <row r="6">
      <c r="A6" s="8" t="inlineStr">
        <is>
          <t>Georgia Poultry</t>
        </is>
      </c>
      <c r="B6" s="9">
        <f>COUNTIF(tblPendientes[Marca],"Georgia Poultry")</f>
        <v/>
      </c>
    </row>
    <row r="7">
      <c r="A7" s="8" t="inlineStr">
        <is>
          <t>SBM</t>
        </is>
      </c>
      <c r="B7" s="9">
        <f>COUNTIF(tblPendientes[Marca],"SBM")</f>
        <v/>
      </c>
    </row>
    <row r="8">
      <c r="A8" s="8" t="inlineStr">
        <is>
          <t>LB White</t>
        </is>
      </c>
      <c r="B8" s="9">
        <f>COUNTIF(tblPendientes[Marca],"LB White")</f>
        <v/>
      </c>
    </row>
    <row r="9">
      <c r="A9" s="8" t="inlineStr">
        <is>
          <t>AMT</t>
        </is>
      </c>
      <c r="B9" s="9">
        <f>COUNTIF(tblPendientes[Marca],"AMT")</f>
        <v/>
      </c>
    </row>
    <row r="10">
      <c r="A10" s="8" t="inlineStr">
        <is>
          <t>ALKE</t>
        </is>
      </c>
      <c r="B10" s="9">
        <f>COUNTIF(tblPendientes[Marca],"ALKE")</f>
        <v/>
      </c>
    </row>
    <row r="11">
      <c r="A11" s="8" t="inlineStr">
        <is>
          <t>FANCOM</t>
        </is>
      </c>
      <c r="B11" s="9">
        <f>COUNTIF(tblPendientes[Marca],"FANCOM")</f>
        <v/>
      </c>
    </row>
    <row r="12">
      <c r="A12" s="8" t="inlineStr">
        <is>
          <t>LUBING</t>
        </is>
      </c>
      <c r="B12" s="9">
        <f>COUNTIF(tblPendientes[Marca],"LUBING")</f>
        <v/>
      </c>
    </row>
    <row r="13">
      <c r="A13" s="8" t="inlineStr">
        <is>
          <t>MS Schippers</t>
        </is>
      </c>
      <c r="B13" s="9">
        <f>COUNTIF(tblPendientes[Marca],"MS Schippers")</f>
        <v/>
      </c>
    </row>
    <row r="14">
      <c r="A14" s="10" t="inlineStr">
        <is>
          <t>TOTAL</t>
        </is>
      </c>
      <c r="B14" s="11">
        <f>SUM(B6:B13)</f>
        <v/>
      </c>
    </row>
    <row r="17">
      <c r="A17" s="6" t="inlineStr">
        <is>
          <t>Por estado</t>
        </is>
      </c>
    </row>
    <row r="18">
      <c r="A18" s="7" t="inlineStr">
        <is>
          <t>Estado</t>
        </is>
      </c>
      <c r="B18" s="7" t="inlineStr">
        <is>
          <t>Registros</t>
        </is>
      </c>
    </row>
    <row r="19">
      <c r="A19" s="12" t="inlineStr">
        <is>
          <t>🔄 pedir foto real</t>
        </is>
      </c>
      <c r="B19" s="9">
        <f>COUNTIF(tblPendientes[Estado],A19)</f>
        <v/>
      </c>
    </row>
    <row r="20">
      <c r="A20" s="13" t="inlineStr">
        <is>
          <t>⬜ pendiente</t>
        </is>
      </c>
      <c r="B20" s="9">
        <f>COUNTIF(tblPendientes[Estado],A20)</f>
        <v/>
      </c>
    </row>
    <row r="21">
      <c r="A21" s="14" t="inlineStr">
        <is>
          <t>✅ aclarada correcta</t>
        </is>
      </c>
      <c r="B21" s="9">
        <f>COUNTIF(tblPendientes[Estado],A21)</f>
        <v/>
      </c>
    </row>
    <row r="24">
      <c r="A24" s="6" t="inlineStr">
        <is>
          <t>Cómo usar este archivo</t>
        </is>
      </c>
    </row>
    <row r="25">
      <c r="A25" s="15" t="inlineStr">
        <is>
          <t>1. Revise con almacén cada fila de la hoja 'Pendientes' (filtre por Marca o Estado).</t>
        </is>
      </c>
    </row>
    <row r="26">
      <c r="A26" s="15" t="inlineStr">
        <is>
          <t>2. Al resolver una foto, cambie el Estado a '✅ aclarada correcta' (se pone verde solo).</t>
        </is>
      </c>
    </row>
    <row r="27">
      <c r="A27" s="15" t="inlineStr">
        <is>
          <t>3. Si almacén proporciona la foto real, reemplácela en public/images/catalogo/&lt;marca&gt;/ y actualice el estado.</t>
        </is>
      </c>
    </row>
    <row r="28">
      <c r="A28" s="15" t="inlineStr">
        <is>
          <t>4. Las filas Tipo='Incorrecta' (rojo) son las prioritarias: la foto muestra otra cosa.</t>
        </is>
      </c>
    </row>
    <row r="29">
      <c r="A29" s="15" t="inlineStr">
        <is>
          <t>5. Este archivo se regenera desde el acumulado de la sesión; conserve sus cambios de estado en esta copia.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2026-09-08T19:32:49Z</dcterms:created>
  <dcterms:modified xmlns:dcterms="http://purl.org/dc/terms/" xmlns:xsi="http://www.w3.org/2001/XMLSchema-instance" xsi:type="dcterms:W3CDTF">2026-09-08T19:32:49Z</dcterms:modified>
</cp:coreProperties>
</file>